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hectorvargas/Desktop/Career_Foundry/Data Immersion/Achievement 3 (Databases &amp; SQL for Analysts)/EXCELs/"/>
    </mc:Choice>
  </mc:AlternateContent>
  <xr:revisionPtr revIDLastSave="0" documentId="8_{75002694-B7FE-DE44-A295-AB8D3D00AA4A}" xr6:coauthVersionLast="47" xr6:coauthVersionMax="47" xr10:uidLastSave="{00000000-0000-0000-0000-000000000000}"/>
  <bookViews>
    <workbookView xWindow="15860" yWindow="-21100" windowWidth="38200" windowHeight="20740" activeTab="6" xr2:uid="{00000000-000D-0000-FFFF-FFFF00000000}"/>
  </bookViews>
  <sheets>
    <sheet name="Q1" sheetId="6" r:id="rId1"/>
    <sheet name="Q2" sheetId="8" r:id="rId2"/>
    <sheet name="Q3" sheetId="9" r:id="rId3"/>
    <sheet name="Q4" sheetId="10" r:id="rId4"/>
    <sheet name="Customers-revenue" sheetId="11" r:id="rId5"/>
    <sheet name="Top-5 countries" sheetId="5" r:id="rId6"/>
    <sheet name="top 10-countries" sheetId="3" r:id="rId7"/>
  </sheets>
  <definedNames>
    <definedName name="top_10_country_costumers" localSheetId="6">'top 10-countries'!$A$1:$B$11</definedName>
  </definedNames>
  <calcPr calcId="191029"/>
  <pivotCaches>
    <pivotCache cacheId="19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op-10-country-costumers" type="6" refreshedVersion="8" background="1" saveData="1">
    <textPr sourceFile="/Users/hectorvargas/Downloads/top-10-country-costumers.csv" decimal="," thousands=".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<sst xmlns="http://schemas.openxmlformats.org/spreadsheetml/2006/main" count="46" uniqueCount="31">
  <si>
    <t>Row Labels</t>
  </si>
  <si>
    <t>Grand Total</t>
  </si>
  <si>
    <t>country</t>
  </si>
  <si>
    <t>total_number_of_customers</t>
  </si>
  <si>
    <t>India</t>
  </si>
  <si>
    <t>China</t>
  </si>
  <si>
    <t>United States</t>
  </si>
  <si>
    <t>Japan</t>
  </si>
  <si>
    <t>Mexico</t>
  </si>
  <si>
    <t>Brazil</t>
  </si>
  <si>
    <t>Russian Federation</t>
  </si>
  <si>
    <t>Philippines</t>
  </si>
  <si>
    <t>Turkey</t>
  </si>
  <si>
    <t>Indonesia</t>
  </si>
  <si>
    <t>Sum of total_number_of_customers</t>
  </si>
  <si>
    <t>Query</t>
  </si>
  <si>
    <t>Question</t>
  </si>
  <si>
    <t>Which movies contributed the most to revenue gain?</t>
  </si>
  <si>
    <t>Which movies contributed the least to revenue gain?</t>
  </si>
  <si>
    <t>SELECT title,
SUM(amount) AS Total_Revenue
FROM film A
	INNER JOIN inventory B ON B.film_id = A.film_id
	INNER JOIN rental C ON C.inventory_id = B.inventory_id
	INNER JOIN payment D ON D.rental_id = C.rental_id
GROUP BY title
ORDER BY total_revenue DESC
LIMIT 10;</t>
  </si>
  <si>
    <t>SELECT title,
SUM(amount) AS Total_Revenue
FROM film A
INNER JOIN inventory B ON B.film_id = A.film_id
INNER JOIN rental C ON C.inventory_id = B.inventory_id
INNER JOIN payment D ON D.rental_id = C.rental_id
GROUP BY title
ORDER BY total_revenue ASC
LIMIT 10;</t>
  </si>
  <si>
    <t>What was the average rental duration for all videos?</t>
  </si>
  <si>
    <t>SELECT AVG(rental_duration) AS avg_rental_duration
FROM film;</t>
  </si>
  <si>
    <t>SELECT country,
 COUNT(A.customer_id)AS Total_number_of_customers
FROM customer A
	INNER JOIN address B ON A.address_id = B.address_id
	INNER JOIN city C ON B.city_id = C.city_id
	INNER JOIN country D ON C.country_id =D.country_id
GROUP BY D.country
ORDER BY count (A.customer_id) DESC</t>
  </si>
  <si>
    <t>Which countries are Rockbuster customer based in? Country</t>
  </si>
  <si>
    <t>Which countries are Rockbuster customer based in? City</t>
  </si>
  <si>
    <t>SELECT C.city,D.country,
COUNT(A.customer_id) AS Total_number_of_customers
FROM customer A
	INNER JOIN address B ON A.address_id = B.address_id
	INNER JOIN city C ON B.city_id = C.city_id
	INNER JOIN country D ON C.country_id =D.country_id
WHERE D.country IN
('India', 'China', 'United States'
,'Japan','Mexico','Brazil','Russian Federation',
'Philippines','Turkey','Indonesia' )
GROUP BY C.city, D.country
ORDER BY count (A.customer_id) DESC
LIMIT 10</t>
  </si>
  <si>
    <t>Where are customers with a high lifetime value Based?</t>
  </si>
  <si>
    <t>SELECT country,
       COUNT(DISTINCT A.customer_id) AS customer_count,
       SUM(amount) AS total_revenue
FROM customer A
	INNER JOIN address B ON A.address_id = B.address_id
	INNER JOIN city C ON B.city_id = C.city_id
	INNER JOIN country D ON C.country_ID = D.country_ID
	INNER JOIN payment E ON a.customer_id = E.customer_id
GROUP BY country
ORDER BY total_revenue DESC</t>
  </si>
  <si>
    <t>--Top 5 customers in the top 10 cities--</t>
  </si>
  <si>
    <t>SELECT B.customer_id, B.first_name,
 B.last_name, D.city, E.country,
 SUM(A.amount) AS Total_Amount_Paid
 FROM customer B
 INNER JOIN payment A ON B.customer_id = A.customer_id
 INNER JOIN address C ON B.address_id = C.address_id
 INNER JOIN city D ON C.city_id = D.city_id
 INNER JOIN country E ON D.country_id = E.country_id
 WHERE D.city IN ('Aurora', 'Atlixco',
 'Xintai', 'Adoni', 'Dhule (Dhulia)',
 'Kurashiki', 'Pingxiang',
 'Sivas', 'Celaya', 'So Leopoldo')
 GROUP BY B.customer_id, B.first_name, B.last_name, D.city, E.country
 ORDER BY Total_Amount_Paid DESC
 LIMIT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</si>
</sst>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3"/>
      <color theme="1"/>
      <name val="Calibri Bold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16" fillId="0" borderId="0" xfId="0" applyFont="1" applyAlignment="1">
      <alignment horizontal="left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1943099</xdr:rowOff>
    </xdr:from>
    <xdr:to>
      <xdr:col>1</xdr:col>
      <xdr:colOff>3619500</xdr:colOff>
      <xdr:row>26</xdr:row>
      <xdr:rowOff>138792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792ACF2-26F9-4971-E667-784E64727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2146299"/>
          <a:ext cx="3619500" cy="501559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50800</xdr:colOff>
      <xdr:row>26</xdr:row>
      <xdr:rowOff>25400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11DDC38-49AE-64FC-CA6E-CCA540BC1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2146300"/>
          <a:ext cx="3733800" cy="4902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4508500</xdr:colOff>
      <xdr:row>24</xdr:row>
      <xdr:rowOff>154556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1733FB-600F-C67E-713A-2B3C08A2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635000"/>
          <a:ext cx="4508500" cy="46249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50800</xdr:rowOff>
    </xdr:from>
    <xdr:to>
      <xdr:col>2</xdr:col>
      <xdr:colOff>124796</xdr:colOff>
      <xdr:row>32</xdr:row>
      <xdr:rowOff>50800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A1CDEBA-15A3-FB24-6720-628704E05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7300" y="1981200"/>
          <a:ext cx="4836496" cy="60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0</xdr:colOff>
      <xdr:row>27</xdr:row>
      <xdr:rowOff>50800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F42B457-4FC6-F1E8-666B-4DF3EA741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88800" y="3009900"/>
          <a:ext cx="3683000" cy="5130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3505200</xdr:colOff>
      <xdr:row>29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095C97B-B512-7263-C193-3EE6392DB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7300" y="2362200"/>
          <a:ext cx="3505200" cy="55626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2425700</xdr:colOff>
      <xdr:row>2</xdr:row>
      <xdr:rowOff>63500</xdr:rowOff>
    </xdr:from>
    <xdr:to>
      <xdr:col>2</xdr:col>
      <xdr:colOff>749066</xdr:colOff>
      <xdr:row>20</xdr:row>
      <xdr:rowOff>165100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A7EFC1D-653F-358C-4F47-C40CFD74A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5700" y="3657600"/>
          <a:ext cx="4889266" cy="37592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ctor Manuel Vargas Mendoza" refreshedDate="44889.852139236114" createdVersion="8" refreshedVersion="8" minRefreshableVersion="3" recordCount="5" xr:uid="{00000000-000A-0000-FFFF-FFFF0D000000}">
  <cacheSource type="worksheet">
    <worksheetSource ref="A1:B6" sheet="top 10-countries"/>
  </cacheSource>
  <cacheFields count="2">
    <cacheField name="country" numFmtId="0">
      <sharedItems count="5">
        <s v="India"/>
        <s v="China"/>
        <s v="United States"/>
        <s v="Japan"/>
        <s v="Mexico"/>
      </sharedItems>
    </cacheField>
    <cacheField name="total_number_of_customers" numFmtId="0">
      <sharedItems containsSemiMixedTypes="0" containsString="0" containsNumber="1" containsInteger="1" minValue="30" maxValue="60" count="5">
        <n v="60"/>
        <n v="53"/>
        <n v="36"/>
        <n v="31"/>
        <n v="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x v="0"/>
  </r>
  <r>
    <x v="1"/>
    <x v="1"/>
  </r>
  <r>
    <x v="2"/>
    <x v="2"/>
  </r>
  <r>
    <x v="3"/>
    <x v="3"/>
  </r>
  <r>
    <x v="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4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9" firstHeaderRow="1" firstDataRow="1" firstDataCol="1"/>
  <pivotFields count="2">
    <pivotField axis="axisRow" showAll="0" sortType="descending">
      <items count="6">
        <item x="1"/>
        <item x="0"/>
        <item x="3"/>
        <item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6">
        <item x="4"/>
        <item x="3"/>
        <item x="2"/>
        <item x="1"/>
        <item x="0"/>
        <item t="default"/>
      </items>
    </pivotField>
  </pivotFields>
  <rowFields count="1">
    <field x="0"/>
  </rowFields>
  <rowItems count="6">
    <i>
      <x v="1"/>
    </i>
    <i>
      <x/>
    </i>
    <i>
      <x v="4"/>
    </i>
    <i>
      <x v="2"/>
    </i>
    <i>
      <x v="3"/>
    </i>
    <i t="grand">
      <x/>
    </i>
  </rowItems>
  <colItems count="1">
    <i/>
  </colItems>
  <dataFields count="1">
    <dataField name="Sum of total_number_of_customers" fld="1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p-10-country-costumers" connectionId="1" xr16:uid="{00000000-0016-0000-06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6"/>
  <sheetViews>
    <sheetView workbookViewId="0">
      <selection activeCell="B2" sqref="B2"/>
    </sheetView>
  </sheetViews>
  <sheetFormatPr baseColWidth="10" defaultRowHeight="16"/>
  <cols>
    <col min="1" max="1" width="45" customWidth="1"/>
    <col min="2" max="2" width="61.83203125" customWidth="1"/>
    <col min="3" max="3" width="45.6640625" bestFit="1" customWidth="1"/>
    <col min="4" max="4" width="48.33203125" customWidth="1"/>
  </cols>
  <sheetData>
    <row r="1" spans="1:4">
      <c r="A1" s="7" t="s">
        <v>16</v>
      </c>
      <c r="B1" s="7" t="s">
        <v>15</v>
      </c>
      <c r="C1" s="7" t="s">
        <v>16</v>
      </c>
      <c r="D1" s="7" t="s">
        <v>15</v>
      </c>
    </row>
    <row r="2" spans="1:4" ht="153">
      <c r="A2" s="6" t="s">
        <v>17</v>
      </c>
      <c r="B2" s="5" t="s">
        <v>19</v>
      </c>
      <c r="C2" s="8" t="s">
        <v>18</v>
      </c>
      <c r="D2" s="5" t="s">
        <v>20</v>
      </c>
    </row>
    <row r="3" spans="1:4">
      <c r="A3" s="6"/>
      <c r="B3" s="5"/>
    </row>
    <row r="4" spans="1:4">
      <c r="A4" s="6"/>
      <c r="B4" s="5"/>
    </row>
    <row r="5" spans="1:4">
      <c r="A5" s="6"/>
      <c r="B5" s="5"/>
    </row>
    <row r="6" spans="1:4">
      <c r="A6" s="8"/>
      <c r="B6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6"/>
  <sheetViews>
    <sheetView workbookViewId="0">
      <selection activeCell="A2" sqref="A2"/>
    </sheetView>
  </sheetViews>
  <sheetFormatPr baseColWidth="10" defaultRowHeight="16"/>
  <cols>
    <col min="1" max="1" width="45" customWidth="1"/>
    <col min="2" max="2" width="61.83203125" customWidth="1"/>
    <col min="3" max="3" width="45.6640625" bestFit="1" customWidth="1"/>
    <col min="4" max="4" width="48.33203125" customWidth="1"/>
  </cols>
  <sheetData>
    <row r="1" spans="1:4">
      <c r="A1" s="7" t="s">
        <v>16</v>
      </c>
      <c r="B1" s="7" t="s">
        <v>15</v>
      </c>
      <c r="C1" s="7"/>
      <c r="D1" s="7"/>
    </row>
    <row r="2" spans="1:4" ht="34">
      <c r="A2" s="6" t="s">
        <v>21</v>
      </c>
      <c r="B2" s="5" t="s">
        <v>22</v>
      </c>
      <c r="C2" s="8"/>
      <c r="D2" s="5"/>
    </row>
    <row r="3" spans="1:4">
      <c r="A3" s="6"/>
      <c r="B3" s="5"/>
    </row>
    <row r="4" spans="1:4">
      <c r="A4" s="6"/>
      <c r="B4" s="5"/>
    </row>
    <row r="5" spans="1:4">
      <c r="A5" s="6"/>
      <c r="B5" s="5"/>
    </row>
    <row r="6" spans="1:4">
      <c r="A6" s="8"/>
      <c r="B6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6"/>
  <sheetViews>
    <sheetView topLeftCell="A2" workbookViewId="0">
      <selection activeCell="B2" sqref="B2"/>
    </sheetView>
  </sheetViews>
  <sheetFormatPr baseColWidth="10" defaultRowHeight="16"/>
  <cols>
    <col min="1" max="1" width="49.83203125" bestFit="1" customWidth="1"/>
    <col min="2" max="2" width="61.83203125" customWidth="1"/>
    <col min="3" max="3" width="45.6640625" bestFit="1" customWidth="1"/>
    <col min="4" max="4" width="48.33203125" customWidth="1"/>
  </cols>
  <sheetData>
    <row r="1" spans="1:4">
      <c r="A1" s="7" t="s">
        <v>16</v>
      </c>
      <c r="B1" s="7" t="s">
        <v>15</v>
      </c>
      <c r="C1" s="7"/>
      <c r="D1" s="7"/>
    </row>
    <row r="2" spans="1:4" ht="221">
      <c r="A2" s="9" t="s">
        <v>24</v>
      </c>
      <c r="B2" s="5" t="s">
        <v>23</v>
      </c>
      <c r="C2" s="10" t="s">
        <v>25</v>
      </c>
      <c r="D2" s="5" t="s">
        <v>26</v>
      </c>
    </row>
    <row r="3" spans="1:4">
      <c r="A3" s="6"/>
      <c r="B3" s="5"/>
    </row>
    <row r="4" spans="1:4">
      <c r="A4" s="6"/>
      <c r="B4" s="5"/>
    </row>
    <row r="5" spans="1:4">
      <c r="A5" s="6"/>
      <c r="B5" s="5"/>
    </row>
    <row r="6" spans="1:4">
      <c r="A6" s="8"/>
      <c r="B6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6"/>
  <sheetViews>
    <sheetView workbookViewId="0">
      <selection activeCell="B2" sqref="B2"/>
    </sheetView>
  </sheetViews>
  <sheetFormatPr baseColWidth="10" defaultRowHeight="16"/>
  <cols>
    <col min="1" max="1" width="49.83203125" bestFit="1" customWidth="1"/>
    <col min="2" max="2" width="61.83203125" customWidth="1"/>
    <col min="3" max="3" width="45.6640625" bestFit="1" customWidth="1"/>
    <col min="4" max="4" width="48.33203125" customWidth="1"/>
  </cols>
  <sheetData>
    <row r="1" spans="1:4">
      <c r="A1" s="7" t="s">
        <v>16</v>
      </c>
      <c r="B1" s="7" t="s">
        <v>15</v>
      </c>
      <c r="C1" s="7"/>
      <c r="D1" s="7"/>
    </row>
    <row r="2" spans="1:4" ht="170">
      <c r="A2" s="9" t="s">
        <v>27</v>
      </c>
      <c r="B2" s="5" t="s">
        <v>28</v>
      </c>
      <c r="C2" s="10"/>
      <c r="D2" s="5"/>
    </row>
    <row r="3" spans="1:4">
      <c r="A3" s="6"/>
      <c r="B3" s="5"/>
    </row>
    <row r="4" spans="1:4">
      <c r="A4" s="6"/>
      <c r="B4" s="5"/>
    </row>
    <row r="5" spans="1:4">
      <c r="A5" s="6"/>
      <c r="B5" s="5"/>
    </row>
    <row r="6" spans="1:4">
      <c r="A6" s="8"/>
      <c r="B6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"/>
  <sheetViews>
    <sheetView workbookViewId="0">
      <selection activeCell="B2" sqref="B2"/>
    </sheetView>
  </sheetViews>
  <sheetFormatPr baseColWidth="10" defaultRowHeight="16"/>
  <cols>
    <col min="1" max="1" width="33.6640625" bestFit="1" customWidth="1"/>
    <col min="2" max="2" width="52.5" customWidth="1"/>
  </cols>
  <sheetData>
    <row r="1" spans="1:2">
      <c r="A1" t="s">
        <v>16</v>
      </c>
      <c r="B1" t="s">
        <v>15</v>
      </c>
    </row>
    <row r="2" spans="1:2" ht="267" customHeight="1">
      <c r="A2" s="11" t="s">
        <v>29</v>
      </c>
      <c r="B2" s="12" t="s">
        <v>30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B9"/>
  <sheetViews>
    <sheetView workbookViewId="0">
      <selection activeCell="B4" sqref="B4"/>
    </sheetView>
  </sheetViews>
  <sheetFormatPr baseColWidth="10" defaultRowHeight="16"/>
  <cols>
    <col min="1" max="1" width="13" bestFit="1" customWidth="1"/>
    <col min="2" max="2" width="31.33203125" bestFit="1" customWidth="1"/>
  </cols>
  <sheetData>
    <row r="3" spans="1:2">
      <c r="A3" s="1" t="s">
        <v>0</v>
      </c>
      <c r="B3" t="s">
        <v>14</v>
      </c>
    </row>
    <row r="4" spans="1:2">
      <c r="A4" s="2" t="s">
        <v>4</v>
      </c>
      <c r="B4" s="3">
        <v>0.2857142857142857</v>
      </c>
    </row>
    <row r="5" spans="1:2">
      <c r="A5" s="2" t="s">
        <v>5</v>
      </c>
      <c r="B5" s="3">
        <v>0.25238095238095237</v>
      </c>
    </row>
    <row r="6" spans="1:2">
      <c r="A6" s="2" t="s">
        <v>6</v>
      </c>
      <c r="B6" s="3">
        <v>0.17142857142857143</v>
      </c>
    </row>
    <row r="7" spans="1:2">
      <c r="A7" s="2" t="s">
        <v>7</v>
      </c>
      <c r="B7" s="3">
        <v>0.14761904761904762</v>
      </c>
    </row>
    <row r="8" spans="1:2">
      <c r="A8" s="2" t="s">
        <v>8</v>
      </c>
      <c r="B8" s="3">
        <v>0.14285714285714285</v>
      </c>
    </row>
    <row r="9" spans="1:2">
      <c r="A9" s="2" t="s">
        <v>1</v>
      </c>
      <c r="B9" s="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12"/>
  <sheetViews>
    <sheetView tabSelected="1" workbookViewId="0">
      <selection activeCell="E19" sqref="E19"/>
    </sheetView>
  </sheetViews>
  <sheetFormatPr baseColWidth="10" defaultRowHeight="16"/>
  <cols>
    <col min="1" max="1" width="17" bestFit="1" customWidth="1"/>
    <col min="2" max="2" width="24.83203125" bestFit="1" customWidth="1"/>
  </cols>
  <sheetData>
    <row r="1" spans="1:2">
      <c r="A1" t="s">
        <v>2</v>
      </c>
      <c r="B1" t="s">
        <v>3</v>
      </c>
    </row>
    <row r="2" spans="1:2">
      <c r="A2" t="s">
        <v>4</v>
      </c>
      <c r="B2">
        <v>60</v>
      </c>
    </row>
    <row r="3" spans="1:2">
      <c r="A3" t="s">
        <v>5</v>
      </c>
      <c r="B3">
        <v>53</v>
      </c>
    </row>
    <row r="4" spans="1:2">
      <c r="A4" t="s">
        <v>6</v>
      </c>
      <c r="B4">
        <v>36</v>
      </c>
    </row>
    <row r="5" spans="1:2">
      <c r="A5" t="s">
        <v>7</v>
      </c>
      <c r="B5">
        <v>31</v>
      </c>
    </row>
    <row r="6" spans="1:2">
      <c r="A6" t="s">
        <v>8</v>
      </c>
      <c r="B6">
        <v>30</v>
      </c>
    </row>
    <row r="7" spans="1:2">
      <c r="A7" t="s">
        <v>9</v>
      </c>
      <c r="B7">
        <v>28</v>
      </c>
    </row>
    <row r="8" spans="1:2">
      <c r="A8" t="s">
        <v>10</v>
      </c>
      <c r="B8">
        <v>28</v>
      </c>
    </row>
    <row r="9" spans="1:2">
      <c r="A9" t="s">
        <v>11</v>
      </c>
      <c r="B9">
        <v>20</v>
      </c>
    </row>
    <row r="10" spans="1:2">
      <c r="A10" t="s">
        <v>12</v>
      </c>
      <c r="B10">
        <v>15</v>
      </c>
    </row>
    <row r="11" spans="1:2">
      <c r="A11" t="s">
        <v>13</v>
      </c>
      <c r="B11">
        <v>14</v>
      </c>
    </row>
    <row r="12" spans="1:2">
      <c r="B12">
        <f>SUM(B2:B11)</f>
        <v>315</v>
      </c>
    </row>
  </sheetData>
  <sortState xmlns:xlrd2="http://schemas.microsoft.com/office/spreadsheetml/2017/richdata2" ref="A2:B11">
    <sortCondition descending="1" ref="B2:B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Q1</vt:lpstr>
      <vt:lpstr>Q2</vt:lpstr>
      <vt:lpstr>Q3</vt:lpstr>
      <vt:lpstr>Q4</vt:lpstr>
      <vt:lpstr>Customers-revenue</vt:lpstr>
      <vt:lpstr>Top-5 countries</vt:lpstr>
      <vt:lpstr>top 10-countries</vt:lpstr>
      <vt:lpstr>'top 10-countries'!top_10_country_costumers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Manuel Vargas Mendoza</dc:creator>
  <cp:lastModifiedBy>Hector Manuel Vargas Mendoza</cp:lastModifiedBy>
  <dcterms:created xsi:type="dcterms:W3CDTF">2022-11-24T20:50:36Z</dcterms:created>
  <dcterms:modified xsi:type="dcterms:W3CDTF">2022-11-25T09:27:19Z</dcterms:modified>
</cp:coreProperties>
</file>